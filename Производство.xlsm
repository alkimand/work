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450" windowWidth="27795" windowHeight="11655"/>
  </bookViews>
  <sheets>
    <sheet name="Лист1" sheetId="1" r:id="rId1"/>
    <sheet name="Const" sheetId="2" r:id="rId2"/>
    <sheet name="Лист3" sheetId="3" r:id="rId3"/>
  </sheets>
  <functionGroups builtInGroupCount="17"/>
  <definedNames>
    <definedName name="nmw__">174.75</definedName>
  </definedNames>
  <calcPr calcId="145621"/>
</workbook>
</file>

<file path=xl/sharedStrings.xml><?xml version="1.0" encoding="utf-8"?>
<sst xmlns="http://schemas.openxmlformats.org/spreadsheetml/2006/main" count="117" uniqueCount="58">
  <si>
    <t>№ Энергопром</t>
  </si>
  <si>
    <t>№ п/п</t>
  </si>
  <si>
    <t>№ БЗ</t>
  </si>
  <si>
    <t>Папка</t>
  </si>
  <si>
    <t>Тип</t>
  </si>
  <si>
    <t>СТП</t>
  </si>
  <si>
    <t>Калькуляция Эн</t>
  </si>
  <si>
    <t>Дата отгрузки план</t>
  </si>
  <si>
    <t>Дата отгрузки факт</t>
  </si>
  <si>
    <t>Дата забора документации</t>
  </si>
  <si>
    <t>Фото</t>
  </si>
  <si>
    <t>Документация</t>
  </si>
  <si>
    <t>Да</t>
  </si>
  <si>
    <t>Нет</t>
  </si>
  <si>
    <t>Bool</t>
  </si>
  <si>
    <t>Дата поступления в расчет</t>
  </si>
  <si>
    <t>Статус</t>
  </si>
  <si>
    <t>В работе</t>
  </si>
  <si>
    <t>Status</t>
  </si>
  <si>
    <t>Выполнено</t>
  </si>
  <si>
    <t>Отгружено вместе с документами</t>
  </si>
  <si>
    <t>Отгружено без документов</t>
  </si>
  <si>
    <t>Срочность</t>
  </si>
  <si>
    <t>КТП</t>
  </si>
  <si>
    <t>ПКУ</t>
  </si>
  <si>
    <t>НКУ</t>
  </si>
  <si>
    <t>№ ПМ</t>
  </si>
  <si>
    <t>\\mars\Щитовое производство\Комплекты ДОКументов на ВЫПУСКаемую продукцию\18386 КТП-Т ВВ 400-6-0,4</t>
  </si>
  <si>
    <t>\\mars\Щитовое производство\Комплекты ДОКументов на ВЫПУСКаемую продукцию\18388 КТП-Т ВВ 250-6-0,4</t>
  </si>
  <si>
    <t>06784/1</t>
  </si>
  <si>
    <t>06781/1</t>
  </si>
  <si>
    <t>6499/1</t>
  </si>
  <si>
    <t>Дата изготовления факт</t>
  </si>
  <si>
    <t>\\mars\Щитовое производство\Комплекты ДОКументов на ВЫПУСКаемую продукцию\18385 КТП-63-10-0,4</t>
  </si>
  <si>
    <t>6774/1</t>
  </si>
  <si>
    <t>\\mars\Щитовое производство\Комплекты ДОКументов на ВЫПУСКаемую продукцию\18379 КТП-630-10-0,4</t>
  </si>
  <si>
    <t>\\mars\Щитовое производство\Комплекты ДОКументов на ВЫПУСКаемую продукцию\17340 КТП-400-6-0_4</t>
  </si>
  <si>
    <t>давно</t>
  </si>
  <si>
    <t>6515/1</t>
  </si>
  <si>
    <t>6771/1</t>
  </si>
  <si>
    <t>\\mars\Щитовое производство\Комплекты ДОКументов на ВЫПУСКаемую продукцию\18389 КТП-Т-ВВ-400-6-0,4</t>
  </si>
  <si>
    <t>Не распечатано</t>
  </si>
  <si>
    <t>6828/1</t>
  </si>
  <si>
    <t>В разработке</t>
  </si>
  <si>
    <t>6246/1</t>
  </si>
  <si>
    <t>\\mars\Щитовое производство\Комплекты ДОКументов на ВЫПУСКаемую продукцию\18391 СТП-100-10-04</t>
  </si>
  <si>
    <t>\\mars\Щитовое производство\Комплекты ДОКументов на ВЫПУСКаемую продукцию\18392 КТП-Т-ВВ-400-6-0,4</t>
  </si>
  <si>
    <t>\\mars\Щитовое производство\Комплекты ДОКументов на ВЫПУСКаемую продукцию\18390 СТП-100-10-04</t>
  </si>
  <si>
    <t>Прочее</t>
  </si>
  <si>
    <t>с 340 проекта</t>
  </si>
  <si>
    <t>Выполнено, не отгружено</t>
  </si>
  <si>
    <t>Выполнено, отгружено</t>
  </si>
  <si>
    <t>на складе с 14.06</t>
  </si>
  <si>
    <t>5884/1</t>
  </si>
  <si>
    <t>\\mars\Щитовое производство\Комплекты ДОКументов на ВЫПУСКаемую продукцию\16251 СТП-25-10-04</t>
  </si>
  <si>
    <t>\\mars\Щитовое производство\Комплекты ДОКументов на ВЫПУСКаемую продукцию\18393 СТП-100-10-04</t>
  </si>
  <si>
    <t>6853/1</t>
  </si>
  <si>
    <t>Переделка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</si>
</sst>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</fills>
  <borders count="2">
    <border>
      <left/>
      <right/>
      <top/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right"/>
    </xf>
    <xf numFmtId="0" fontId="1" fillId="0" borderId="0" xfId="1" applyAlignment="1">
      <alignment horizontal="left"/>
    </xf>
    <xf numFmtId="14" fontId="0" fillId="0" borderId="0" xfId="0" applyNumberFormat="1" applyAlignment="1">
      <alignment horizontal="right"/>
    </xf>
    <xf numFmtId="0" fontId="2" fillId="0" borderId="0" xfId="1" applyFont="1" applyAlignment="1">
      <alignment horizontal="right"/>
    </xf>
    <xf numFmtId="0" fontId="3" fillId="0" borderId="0" xfId="0" applyFont="1" applyAlignment="1">
      <alignment horizontal="center" vertical="center" wrapText="1"/>
    </xf>
    <xf numFmtId="0" fontId="0" fillId="2" borderId="1" xfId="0" applyFont="1" applyFill="1" applyBorder="1"/>
    <xf numFmtId="0" fontId="0" fillId="0" borderId="1" xfId="0" applyFont="1" applyBorder="1"/>
    <xf numFmtId="0" fontId="0" fillId="0" borderId="0" xfId="0" applyFill="1" applyAlignment="1">
      <alignment horizontal="righ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/>
    </xf>
    <xf numFmtId="0" fontId="2" fillId="0" borderId="0" xfId="1" applyFont="1" applyAlignment="1">
      <alignment horizontal="left"/>
    </xf>
    <xf numFmtId="0" fontId="4" fillId="0" borderId="0" xfId="0" applyFont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21"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28574</xdr:rowOff>
    </xdr:from>
    <xdr:to>
      <xdr:col>8</xdr:col>
      <xdr:colOff>0</xdr:colOff>
      <xdr:row>0</xdr:row>
      <xdr:rowOff>275897</xdr:rowOff>
    </xdr:to>
    <xdr:sp macro="[0]!GetHipp_FolderPath" textlink="">
      <xdr:nvSpPr>
        <xdr:cNvPr id="2" name="Скругленный прямоугольник 1"/>
        <xdr:cNvSpPr/>
      </xdr:nvSpPr>
      <xdr:spPr>
        <a:xfrm>
          <a:off x="4781549" y="28574"/>
          <a:ext cx="1531227" cy="247323"/>
        </a:xfrm>
        <a:prstGeom prst="roundRect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FF0000"/>
              </a:solidFill>
            </a:rPr>
            <a:t>Назначить папку</a:t>
          </a:r>
        </a:p>
      </xdr:txBody>
    </xdr:sp>
    <xdr:clientData/>
  </xdr:twoCellAnchor>
  <xdr:twoCellAnchor>
    <xdr:from>
      <xdr:col>11</xdr:col>
      <xdr:colOff>9525</xdr:colOff>
      <xdr:row>0</xdr:row>
      <xdr:rowOff>38099</xdr:rowOff>
    </xdr:from>
    <xdr:to>
      <xdr:col>16</xdr:col>
      <xdr:colOff>7328</xdr:colOff>
      <xdr:row>0</xdr:row>
      <xdr:rowOff>278422</xdr:rowOff>
    </xdr:to>
    <xdr:sp macro="[0]!startcalendar" textlink="">
      <xdr:nvSpPr>
        <xdr:cNvPr id="3" name="Скругленный прямоугольник 2"/>
        <xdr:cNvSpPr/>
      </xdr:nvSpPr>
      <xdr:spPr>
        <a:xfrm>
          <a:off x="8406179" y="38099"/>
          <a:ext cx="5610226" cy="240323"/>
        </a:xfrm>
        <a:prstGeom prst="roundRect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FF0000"/>
              </a:solidFill>
            </a:rPr>
            <a:t>Календарь</a:t>
          </a:r>
        </a:p>
      </xdr:txBody>
    </xdr:sp>
    <xdr:clientData/>
  </xdr:twoCellAnchor>
  <xdr:twoCellAnchor>
    <xdr:from>
      <xdr:col>6</xdr:col>
      <xdr:colOff>72140</xdr:colOff>
      <xdr:row>0</xdr:row>
      <xdr:rowOff>8282</xdr:rowOff>
    </xdr:from>
    <xdr:to>
      <xdr:col>6</xdr:col>
      <xdr:colOff>815090</xdr:colOff>
      <xdr:row>0</xdr:row>
      <xdr:rowOff>294032</xdr:rowOff>
    </xdr:to>
    <xdr:sp macro="[0]!DeleteRow" textlink="">
      <xdr:nvSpPr>
        <xdr:cNvPr id="5" name="Овал 4"/>
        <xdr:cNvSpPr/>
      </xdr:nvSpPr>
      <xdr:spPr>
        <a:xfrm>
          <a:off x="4122336" y="8282"/>
          <a:ext cx="742950" cy="28575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bg1"/>
              </a:solidFill>
            </a:rPr>
            <a:t>-</a:t>
          </a:r>
          <a:endParaRPr lang="ru-RU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225680</xdr:colOff>
      <xdr:row>0</xdr:row>
      <xdr:rowOff>8283</xdr:rowOff>
    </xdr:from>
    <xdr:to>
      <xdr:col>3</xdr:col>
      <xdr:colOff>911480</xdr:colOff>
      <xdr:row>0</xdr:row>
      <xdr:rowOff>294033</xdr:rowOff>
    </xdr:to>
    <xdr:sp macro="[0]!addRow" textlink="">
      <xdr:nvSpPr>
        <xdr:cNvPr id="6" name="Овал 5"/>
        <xdr:cNvSpPr/>
      </xdr:nvSpPr>
      <xdr:spPr>
        <a:xfrm>
          <a:off x="2072702" y="8283"/>
          <a:ext cx="685800" cy="28575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bg1"/>
              </a:solidFill>
            </a:rPr>
            <a:t>+</a:t>
          </a:r>
          <a:endParaRPr lang="ru-RU" sz="20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206747</xdr:colOff>
      <xdr:row>0</xdr:row>
      <xdr:rowOff>67853</xdr:rowOff>
    </xdr:from>
    <xdr:to>
      <xdr:col>9</xdr:col>
      <xdr:colOff>923510</xdr:colOff>
      <xdr:row>0</xdr:row>
      <xdr:rowOff>258352</xdr:rowOff>
    </xdr:to>
    <xdr:sp macro="" textlink="">
      <xdr:nvSpPr>
        <xdr:cNvPr id="8" name="Нашивка 7"/>
        <xdr:cNvSpPr/>
      </xdr:nvSpPr>
      <xdr:spPr>
        <a:xfrm>
          <a:off x="7959269" y="67853"/>
          <a:ext cx="716763" cy="190499"/>
        </a:xfrm>
        <a:prstGeom prst="chevron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main" displayName="main" ref="A2:Q13" totalsRowShown="0" headerRowDxfId="20" dataDxfId="19">
  <autoFilter ref="A2:Q13"/>
  <sortState ref="A3:P7">
    <sortCondition ref="A2:A7"/>
  </sortState>
  <tableColumns count="17">
    <tableColumn id="1" name="№ п/п" dataDxfId="18"/>
    <tableColumn id="16" name="Статус" dataDxfId="17"/>
    <tableColumn id="17" name="Срочность" dataDxfId="16"/>
    <tableColumn id="2" name="№ Энергопром" dataDxfId="15"/>
    <tableColumn id="3" name="№ БЗ" dataDxfId="14"/>
    <tableColumn id="4" name="№ ПМ" dataDxfId="13"/>
    <tableColumn id="11" name="Калькуляция Эн" dataDxfId="12"/>
    <tableColumn id="5" name="Папка" dataDxfId="11" totalsRowDxfId="10" dataCellStyle="Гиперссылка"/>
    <tableColumn id="6" name="Тип" dataDxfId="9" totalsRowDxfId="8"/>
    <tableColumn id="8" name="Документация" dataDxfId="7"/>
    <tableColumn id="9" name="Фото" dataDxfId="6"/>
    <tableColumn id="10" name="Дата поступления в расчет" dataDxfId="5"/>
    <tableColumn id="12" name="Дата изготовления факт" dataDxfId="4"/>
    <tableColumn id="13" name="Дата отгрузки план" dataDxfId="3"/>
    <tableColumn id="14" name="Дата отгрузки факт" dataDxfId="2"/>
    <tableColumn id="15" name="Дата забора документации" dataDxfId="1"/>
    <tableColumn id="7" name="Прочее" dataDxfId="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Bool" displayName="Bool" ref="B1:B3" totalsRowShown="0">
  <autoFilter ref="B1:B3"/>
  <tableColumns count="1">
    <tableColumn id="1" name="Bool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Status" displayName="Status" ref="D1:D8" totalsRowShown="0">
  <autoFilter ref="D1:D8"/>
  <tableColumns count="1">
    <tableColumn id="1" name="Status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5" name="Тип" displayName="Тип" ref="F1:F5" totalsRowShown="0">
  <autoFilter ref="F1:F5"/>
  <tableColumns count="1">
    <tableColumn id="1" name="Тип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4" name="Документация" displayName="Документация" ref="I1:I4" totalsRowShown="0">
  <autoFilter ref="I1:I4"/>
  <tableColumns count="1">
    <tableColumn id="1" name="Документация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18391%20&#1057;&#1058;&#1055;-100-10-04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18385%20&#1050;&#1058;&#1055;-63-10-0,4" TargetMode="External"/><Relationship Id="rId7" Type="http://schemas.openxmlformats.org/officeDocument/2006/relationships/hyperlink" Target="18390%20&#1057;&#1058;&#1055;-100-10-04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18386%20&#1050;&#1058;&#1055;-&#1058;%20&#1042;&#1042;%20400-6-0,4" TargetMode="External"/><Relationship Id="rId1" Type="http://schemas.openxmlformats.org/officeDocument/2006/relationships/hyperlink" Target="18388%20&#1050;&#1058;&#1055;-&#1058;%20&#1042;&#1042;%20250-6-0,4" TargetMode="External"/><Relationship Id="rId6" Type="http://schemas.openxmlformats.org/officeDocument/2006/relationships/hyperlink" Target="18389%20&#1050;&#1058;&#1055;-&#1058;-&#1042;&#1042;-400-6-0,4" TargetMode="External"/><Relationship Id="rId11" Type="http://schemas.openxmlformats.org/officeDocument/2006/relationships/hyperlink" Target="18393%20&#1057;&#1058;&#1055;-100-10-04" TargetMode="External"/><Relationship Id="rId5" Type="http://schemas.openxmlformats.org/officeDocument/2006/relationships/hyperlink" Target="17340%20&#1050;&#1058;&#1055;-400-6-0_4" TargetMode="External"/><Relationship Id="rId10" Type="http://schemas.openxmlformats.org/officeDocument/2006/relationships/hyperlink" Target="16251%20&#1057;&#1058;&#1055;-25-10-04" TargetMode="External"/><Relationship Id="rId4" Type="http://schemas.openxmlformats.org/officeDocument/2006/relationships/hyperlink" Target="18379%20&#1050;&#1058;&#1055;-630-10-0,4" TargetMode="External"/><Relationship Id="rId9" Type="http://schemas.openxmlformats.org/officeDocument/2006/relationships/hyperlink" Target="18392%20&#1050;&#1058;&#1055;-&#1058;-&#1042;&#1042;-400-6-0,4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13"/>
  <sheetViews>
    <sheetView tabSelected="1" zoomScale="115" zoomScaleNormal="115" workbookViewId="0">
      <selection activeCell="J14" sqref="J14"/>
    </sheetView>
  </sheetViews>
  <sheetFormatPr defaultRowHeight="15" x14ac:dyDescent="0.25"/>
  <cols>
    <col min="1" max="1" width="5.7109375" customWidth="1"/>
    <col min="2" max="2" width="25.42578125" style="9" customWidth="1"/>
    <col min="3" max="3" width="8.85546875" customWidth="1"/>
    <col min="4" max="4" width="15.28515625" customWidth="1"/>
    <col min="5" max="5" width="9.28515625" customWidth="1"/>
    <col min="6" max="6" width="8.42578125" customWidth="1"/>
    <col min="7" max="7" width="13" customWidth="1"/>
    <col min="8" max="8" width="21" customWidth="1"/>
    <col min="10" max="10" width="15.140625" customWidth="1"/>
    <col min="11" max="11" width="7.7109375" customWidth="1"/>
    <col min="12" max="12" width="15.5703125" customWidth="1"/>
    <col min="13" max="13" width="17" customWidth="1"/>
    <col min="14" max="15" width="15.28515625" customWidth="1"/>
    <col min="16" max="16" width="21" customWidth="1"/>
    <col min="17" max="17" width="16.85546875" style="9" bestFit="1" customWidth="1"/>
  </cols>
  <sheetData>
    <row r="1" spans="1:17" ht="24" customHeight="1" x14ac:dyDescent="0.25"/>
    <row r="2" spans="1:17" ht="33.75" customHeight="1" x14ac:dyDescent="0.25">
      <c r="A2" s="5" t="s">
        <v>1</v>
      </c>
      <c r="B2" s="10" t="s">
        <v>16</v>
      </c>
      <c r="C2" s="5" t="s">
        <v>22</v>
      </c>
      <c r="D2" s="5" t="s">
        <v>0</v>
      </c>
      <c r="E2" s="5" t="s">
        <v>2</v>
      </c>
      <c r="F2" s="5" t="s">
        <v>26</v>
      </c>
      <c r="G2" s="5" t="s">
        <v>6</v>
      </c>
      <c r="H2" s="5" t="s">
        <v>3</v>
      </c>
      <c r="I2" s="5" t="s">
        <v>4</v>
      </c>
      <c r="J2" s="5" t="s">
        <v>11</v>
      </c>
      <c r="K2" s="5" t="s">
        <v>10</v>
      </c>
      <c r="L2" s="5" t="s">
        <v>15</v>
      </c>
      <c r="M2" s="5" t="s">
        <v>32</v>
      </c>
      <c r="N2" s="5" t="s">
        <v>7</v>
      </c>
      <c r="O2" s="5" t="s">
        <v>8</v>
      </c>
      <c r="P2" s="5" t="s">
        <v>9</v>
      </c>
      <c r="Q2" s="12" t="s">
        <v>48</v>
      </c>
    </row>
    <row r="3" spans="1:17" x14ac:dyDescent="0.25">
      <c r="A3" s="1">
        <v>1</v>
      </c>
      <c r="B3" s="9" t="s">
        <v>19</v>
      </c>
      <c r="C3" s="1" t="s">
        <v>13</v>
      </c>
      <c r="D3" s="1">
        <v>388</v>
      </c>
      <c r="E3" s="1"/>
      <c r="F3" s="1" t="s">
        <v>30</v>
      </c>
      <c r="G3" s="1"/>
      <c r="H3" s="2" t="s">
        <v>28</v>
      </c>
      <c r="I3" s="1" t="s">
        <v>23</v>
      </c>
      <c r="J3" s="1" t="s">
        <v>12</v>
      </c>
      <c r="K3" s="1" t="s">
        <v>12</v>
      </c>
      <c r="L3" s="3"/>
      <c r="M3" s="3">
        <v>43257</v>
      </c>
      <c r="N3" s="3"/>
      <c r="O3" s="3"/>
      <c r="P3" s="3"/>
    </row>
    <row r="4" spans="1:17" x14ac:dyDescent="0.25">
      <c r="A4" s="1">
        <v>2</v>
      </c>
      <c r="B4" s="9" t="s">
        <v>51</v>
      </c>
      <c r="C4" s="1" t="s">
        <v>13</v>
      </c>
      <c r="D4" s="1">
        <v>386</v>
      </c>
      <c r="E4" s="1"/>
      <c r="F4" s="1" t="s">
        <v>29</v>
      </c>
      <c r="G4" s="1"/>
      <c r="H4" s="2" t="s">
        <v>27</v>
      </c>
      <c r="I4" s="1" t="s">
        <v>23</v>
      </c>
      <c r="J4" s="1" t="s">
        <v>12</v>
      </c>
      <c r="K4" s="1" t="s">
        <v>12</v>
      </c>
      <c r="L4" s="3"/>
      <c r="M4" s="3">
        <v>43257</v>
      </c>
      <c r="N4" s="3">
        <v>43270</v>
      </c>
      <c r="O4" s="3">
        <v>43270</v>
      </c>
      <c r="P4" s="3"/>
    </row>
    <row r="5" spans="1:17" x14ac:dyDescent="0.25">
      <c r="A5" s="1">
        <v>3</v>
      </c>
      <c r="B5" s="9" t="s">
        <v>19</v>
      </c>
      <c r="C5" s="1" t="s">
        <v>13</v>
      </c>
      <c r="D5" s="1">
        <v>385</v>
      </c>
      <c r="E5" s="1"/>
      <c r="F5" s="1" t="s">
        <v>31</v>
      </c>
      <c r="G5" s="1"/>
      <c r="H5" s="2" t="s">
        <v>33</v>
      </c>
      <c r="I5" s="1" t="s">
        <v>23</v>
      </c>
      <c r="J5" s="1" t="s">
        <v>12</v>
      </c>
      <c r="K5" s="1" t="s">
        <v>12</v>
      </c>
      <c r="L5" s="3"/>
      <c r="M5" s="3">
        <v>43257</v>
      </c>
      <c r="N5" s="3"/>
      <c r="O5" s="3"/>
      <c r="P5" s="3"/>
      <c r="Q5" s="9" t="s">
        <v>49</v>
      </c>
    </row>
    <row r="6" spans="1:17" x14ac:dyDescent="0.25">
      <c r="A6" s="1">
        <v>4</v>
      </c>
      <c r="B6" s="9" t="s">
        <v>19</v>
      </c>
      <c r="C6" s="1" t="s">
        <v>13</v>
      </c>
      <c r="D6" s="1">
        <v>379</v>
      </c>
      <c r="E6" s="1"/>
      <c r="F6" s="1" t="s">
        <v>34</v>
      </c>
      <c r="G6" s="1"/>
      <c r="H6" s="2" t="s">
        <v>35</v>
      </c>
      <c r="I6" s="1" t="s">
        <v>23</v>
      </c>
      <c r="J6" s="1" t="s">
        <v>12</v>
      </c>
      <c r="K6" s="1" t="s">
        <v>12</v>
      </c>
      <c r="L6" s="3"/>
      <c r="M6" s="3">
        <v>43255</v>
      </c>
      <c r="N6" s="3"/>
      <c r="O6" s="3"/>
      <c r="P6" s="3"/>
    </row>
    <row r="7" spans="1:17" x14ac:dyDescent="0.25">
      <c r="A7" s="1">
        <v>5</v>
      </c>
      <c r="B7" s="11" t="s">
        <v>19</v>
      </c>
      <c r="C7" s="1" t="s">
        <v>13</v>
      </c>
      <c r="D7" s="1">
        <v>340</v>
      </c>
      <c r="E7" s="1"/>
      <c r="F7" s="1" t="s">
        <v>38</v>
      </c>
      <c r="G7" s="1"/>
      <c r="H7" s="2" t="s">
        <v>36</v>
      </c>
      <c r="I7" s="1" t="s">
        <v>23</v>
      </c>
      <c r="J7" s="1" t="s">
        <v>13</v>
      </c>
      <c r="K7" s="1" t="s">
        <v>12</v>
      </c>
      <c r="L7" s="3"/>
      <c r="M7" s="1" t="s">
        <v>37</v>
      </c>
      <c r="N7" s="3"/>
      <c r="O7" s="3"/>
      <c r="P7" s="3"/>
    </row>
    <row r="8" spans="1:17" x14ac:dyDescent="0.25">
      <c r="A8" s="1">
        <v>6</v>
      </c>
      <c r="B8" s="9" t="s">
        <v>51</v>
      </c>
      <c r="C8" s="1" t="s">
        <v>13</v>
      </c>
      <c r="D8" s="1">
        <v>389</v>
      </c>
      <c r="E8" s="1">
        <v>8267</v>
      </c>
      <c r="F8" s="1" t="s">
        <v>39</v>
      </c>
      <c r="G8" s="1">
        <v>6336</v>
      </c>
      <c r="H8" s="2" t="s">
        <v>40</v>
      </c>
      <c r="I8" s="1" t="s">
        <v>23</v>
      </c>
      <c r="J8" s="1" t="s">
        <v>12</v>
      </c>
      <c r="K8" s="1" t="s">
        <v>12</v>
      </c>
      <c r="L8" s="3">
        <v>43260</v>
      </c>
      <c r="M8" s="3">
        <v>43265</v>
      </c>
      <c r="N8" s="1"/>
      <c r="O8" s="1"/>
      <c r="P8" s="1"/>
      <c r="Q8" s="9" t="s">
        <v>52</v>
      </c>
    </row>
    <row r="9" spans="1:17" x14ac:dyDescent="0.25">
      <c r="A9" s="1">
        <v>7</v>
      </c>
      <c r="B9" s="9" t="s">
        <v>51</v>
      </c>
      <c r="C9" s="1" t="s">
        <v>12</v>
      </c>
      <c r="D9" s="1">
        <v>390</v>
      </c>
      <c r="E9" s="1">
        <v>8242</v>
      </c>
      <c r="F9" s="8" t="s">
        <v>56</v>
      </c>
      <c r="G9" s="1">
        <v>6312</v>
      </c>
      <c r="H9" s="2" t="s">
        <v>47</v>
      </c>
      <c r="I9" s="1" t="s">
        <v>5</v>
      </c>
      <c r="J9" s="1" t="s">
        <v>12</v>
      </c>
      <c r="K9" s="1" t="s">
        <v>12</v>
      </c>
      <c r="L9" s="3">
        <v>43260</v>
      </c>
      <c r="M9" s="3">
        <v>43269</v>
      </c>
      <c r="N9" s="3">
        <v>43270</v>
      </c>
      <c r="O9" s="3">
        <v>43278</v>
      </c>
      <c r="P9" s="3">
        <v>43283</v>
      </c>
    </row>
    <row r="10" spans="1:17" x14ac:dyDescent="0.25">
      <c r="A10" s="1">
        <v>8</v>
      </c>
      <c r="B10" s="9" t="s">
        <v>51</v>
      </c>
      <c r="C10" s="1" t="s">
        <v>12</v>
      </c>
      <c r="D10" s="1">
        <v>391</v>
      </c>
      <c r="E10" s="8">
        <v>5273</v>
      </c>
      <c r="F10" s="8" t="s">
        <v>44</v>
      </c>
      <c r="G10" s="1">
        <v>6421</v>
      </c>
      <c r="H10" s="2" t="s">
        <v>45</v>
      </c>
      <c r="I10" s="1" t="s">
        <v>5</v>
      </c>
      <c r="J10" s="1" t="s">
        <v>12</v>
      </c>
      <c r="K10" s="1" t="s">
        <v>12</v>
      </c>
      <c r="L10" s="3">
        <v>43260</v>
      </c>
      <c r="M10" s="3">
        <v>43265</v>
      </c>
      <c r="N10" s="3">
        <v>43270</v>
      </c>
      <c r="O10" s="3">
        <v>43270</v>
      </c>
      <c r="P10" s="1"/>
    </row>
    <row r="11" spans="1:17" x14ac:dyDescent="0.25">
      <c r="A11" s="1">
        <v>9</v>
      </c>
      <c r="B11" s="9" t="s">
        <v>50</v>
      </c>
      <c r="C11" s="1" t="s">
        <v>13</v>
      </c>
      <c r="D11" s="1">
        <v>392</v>
      </c>
      <c r="E11" s="1">
        <v>8511</v>
      </c>
      <c r="F11" s="8" t="s">
        <v>42</v>
      </c>
      <c r="G11" s="4">
        <v>6344</v>
      </c>
      <c r="H11" s="2" t="s">
        <v>46</v>
      </c>
      <c r="I11" s="1" t="s">
        <v>23</v>
      </c>
      <c r="J11" s="1" t="s">
        <v>12</v>
      </c>
      <c r="K11" s="1" t="s">
        <v>12</v>
      </c>
      <c r="L11" s="3">
        <v>43260</v>
      </c>
      <c r="M11" s="3">
        <v>43279</v>
      </c>
      <c r="N11" s="1"/>
      <c r="O11" s="1"/>
      <c r="P11" s="1"/>
    </row>
    <row r="12" spans="1:17" x14ac:dyDescent="0.25">
      <c r="A12" s="1">
        <v>10</v>
      </c>
      <c r="B12" s="9" t="s">
        <v>50</v>
      </c>
      <c r="C12" s="1" t="s">
        <v>13</v>
      </c>
      <c r="D12" s="1">
        <v>251</v>
      </c>
      <c r="E12" s="1"/>
      <c r="F12" s="1" t="s">
        <v>53</v>
      </c>
      <c r="G12" s="8"/>
      <c r="H12" s="2" t="s">
        <v>54</v>
      </c>
      <c r="I12" s="1" t="s">
        <v>5</v>
      </c>
      <c r="J12" s="1" t="s">
        <v>12</v>
      </c>
      <c r="K12" s="1" t="s">
        <v>12</v>
      </c>
      <c r="L12" s="1"/>
      <c r="M12" s="3">
        <v>43278</v>
      </c>
      <c r="N12" s="3">
        <v>43280</v>
      </c>
      <c r="O12" s="1"/>
      <c r="P12" s="1"/>
      <c r="Q12" s="9" t="s">
        <v>57</v>
      </c>
    </row>
    <row r="13" spans="1:17" x14ac:dyDescent="0.25">
      <c r="A13" s="1">
        <v>11</v>
      </c>
      <c r="B13" s="9" t="s">
        <v>17</v>
      </c>
      <c r="C13" s="1" t="s">
        <v>13</v>
      </c>
      <c r="D13" s="8">
        <v>393</v>
      </c>
      <c r="E13" s="1"/>
      <c r="F13" s="1"/>
      <c r="G13" s="8">
        <v>5717</v>
      </c>
      <c r="H13" s="2" t="s">
        <v>55</v>
      </c>
      <c r="I13" s="1" t="s">
        <v>5</v>
      </c>
      <c r="J13" s="1" t="s">
        <v>12</v>
      </c>
      <c r="K13" s="1" t="s">
        <v>13</v>
      </c>
      <c r="L13" s="3">
        <v>43272</v>
      </c>
      <c r="M13" s="1"/>
      <c r="N13" s="3">
        <v>43285</v>
      </c>
      <c r="O13" s="1"/>
      <c r="P13" s="1"/>
    </row>
  </sheetData>
  <dataConsolidate/>
  <dataValidations count="5">
    <dataValidation type="list" allowBlank="1" showInputMessage="1" sqref="J4:J7 K3:K13 C3:C13">
      <formula1>INDIRECT("Bool[Bool]")</formula1>
    </dataValidation>
    <dataValidation type="list" allowBlank="1" showInputMessage="1" sqref="J8:J13">
      <formula1>INDIRECT("Документация[Документация]")</formula1>
    </dataValidation>
    <dataValidation type="list" showDropDown="1" showInputMessage="1" sqref="J3">
      <formula1>INDIRECT("Bool[Bool]")</formula1>
    </dataValidation>
    <dataValidation type="list" allowBlank="1" showInputMessage="1" sqref="I3:I13">
      <formula1>INDIRECT("Тип[Тип]")</formula1>
    </dataValidation>
    <dataValidation type="list" allowBlank="1" showInputMessage="1" sqref="B3:B13">
      <formula1>INDIRECT("Status[Status]")</formula1>
    </dataValidation>
  </dataValidations>
  <hyperlinks>
    <hyperlink ref="H3" r:id="rId1"/>
    <hyperlink ref="H4" r:id="rId2"/>
    <hyperlink ref="H5" r:id="rId3"/>
    <hyperlink ref="H6" r:id="rId4"/>
    <hyperlink ref="H7" r:id="rId5"/>
    <hyperlink ref="H8" r:id="rId6"/>
    <hyperlink ref="H9" r:id="rId7"/>
    <hyperlink ref="H10" r:id="rId8"/>
    <hyperlink ref="H11" r:id="rId9"/>
    <hyperlink ref="H12" r:id="rId10"/>
    <hyperlink ref="H13" r:id="rId11"/>
  </hyperlinks>
  <pageMargins left="0.7" right="0.7" top="0.75" bottom="0.75" header="0.3" footer="0.3"/>
  <pageSetup paperSize="9" orientation="portrait" verticalDpi="0" r:id="rId12"/>
  <drawing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I24"/>
  <sheetViews>
    <sheetView workbookViewId="0">
      <selection activeCell="D5" sqref="D5"/>
    </sheetView>
  </sheetViews>
  <sheetFormatPr defaultRowHeight="15" x14ac:dyDescent="0.25"/>
  <cols>
    <col min="4" max="4" width="32.7109375" bestFit="1" customWidth="1"/>
    <col min="9" max="9" width="16.5703125" customWidth="1"/>
  </cols>
  <sheetData>
    <row r="1" spans="2:9" x14ac:dyDescent="0.25">
      <c r="B1" t="s">
        <v>14</v>
      </c>
      <c r="D1" t="s">
        <v>18</v>
      </c>
      <c r="F1" t="s">
        <v>4</v>
      </c>
      <c r="I1" t="s">
        <v>11</v>
      </c>
    </row>
    <row r="2" spans="2:9" x14ac:dyDescent="0.25">
      <c r="B2" t="s">
        <v>12</v>
      </c>
      <c r="D2" t="s">
        <v>17</v>
      </c>
      <c r="F2" t="s">
        <v>5</v>
      </c>
      <c r="I2" s="6" t="s">
        <v>12</v>
      </c>
    </row>
    <row r="3" spans="2:9" x14ac:dyDescent="0.25">
      <c r="B3" t="s">
        <v>13</v>
      </c>
      <c r="D3" t="s">
        <v>43</v>
      </c>
      <c r="F3" t="s">
        <v>23</v>
      </c>
      <c r="I3" s="7" t="s">
        <v>13</v>
      </c>
    </row>
    <row r="4" spans="2:9" x14ac:dyDescent="0.25">
      <c r="D4" t="s">
        <v>50</v>
      </c>
      <c r="F4" t="s">
        <v>24</v>
      </c>
      <c r="I4" t="s">
        <v>41</v>
      </c>
    </row>
    <row r="5" spans="2:9" x14ac:dyDescent="0.25">
      <c r="D5" t="s">
        <v>51</v>
      </c>
      <c r="F5" t="s">
        <v>25</v>
      </c>
    </row>
    <row r="6" spans="2:9" x14ac:dyDescent="0.25">
      <c r="D6" t="s">
        <v>19</v>
      </c>
    </row>
    <row r="7" spans="2:9" x14ac:dyDescent="0.25">
      <c r="D7" t="s">
        <v>21</v>
      </c>
    </row>
    <row r="8" spans="2:9" x14ac:dyDescent="0.25">
      <c r="D8" t="s">
        <v>20</v>
      </c>
    </row>
    <row r="21" spans="4:5" x14ac:dyDescent="0.25">
      <c r="E21" s="8"/>
    </row>
    <row r="24" spans="4:5" x14ac:dyDescent="0.25">
      <c r="D24" s="1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Const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Тимофеев Сергей Владимирович</dc:creator>
  <cp:lastModifiedBy>Тимофеев Сергей Владимирович</cp:lastModifiedBy>
  <dcterms:created xsi:type="dcterms:W3CDTF">2018-06-07T08:05:25Z</dcterms:created>
  <dcterms:modified xsi:type="dcterms:W3CDTF">2018-07-02T10:12:29Z</dcterms:modified>
</cp:coreProperties>
</file>